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Portfolio_Analysis" sheetId="2" state="visible" r:id="rId2"/>
    <sheet xmlns:r="http://schemas.openxmlformats.org/officeDocument/2006/relationships" name="Credit_Risk_Analysis" sheetId="3" state="visible" r:id="rId3"/>
    <sheet xmlns:r="http://schemas.openxmlformats.org/officeDocument/2006/relationships" name="Trends_and_Vintages" sheetId="4" state="visible" r:id="rId4"/>
    <sheet xmlns:r="http://schemas.openxmlformats.org/officeDocument/2006/relationships" name="Data_Quality" sheetId="5" state="visible" r:id="rId5"/>
    <sheet xmlns:r="http://schemas.openxmlformats.org/officeDocument/2006/relationships" name="Data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0%"/>
  </numFmts>
  <fonts count="14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64748B"/>
      <sz val="10"/>
    </font>
    <font>
      <name val="Segoe UI"/>
      <b val="1"/>
      <color rgb="001E3A8A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color rgb="0064748B"/>
      <sz val="9"/>
    </font>
    <font>
      <name val="Segoe UI"/>
      <color rgb="001E293B"/>
      <sz val="10"/>
    </font>
    <font>
      <name val="Segoe UI"/>
      <b val="1"/>
      <color rgb="001E3A8A"/>
      <sz val="10"/>
    </font>
    <font>
      <name val="Segoe UI"/>
      <b val="1"/>
      <color rgb="00000000"/>
      <sz val="10"/>
    </font>
    <font>
      <name val="Segoe UI"/>
      <b val="1"/>
    </font>
    <font>
      <name val="Segoe UI"/>
      <b val="1"/>
      <color rgb="00000000"/>
    </font>
    <font>
      <name val="Segoe UI"/>
      <b val="1"/>
      <color rgb="00BE123C"/>
    </font>
    <font>
      <name val="Segoe UI"/>
      <i val="1"/>
      <color rgb="00475569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center"/>
    </xf>
    <xf numFmtId="0" fontId="5" fillId="0" borderId="1" pivotButton="0" quotePrefix="0" xfId="0"/>
    <xf numFmtId="3" fontId="5" fillId="0" borderId="1" applyAlignment="1" pivotButton="0" quotePrefix="0" xfId="0">
      <alignment horizontal="right"/>
    </xf>
    <xf numFmtId="0" fontId="6" fillId="0" borderId="1" pivotButton="0" quotePrefix="0" xfId="0"/>
    <xf numFmtId="164" fontId="5" fillId="0" borderId="1" applyAlignment="1" pivotButton="0" quotePrefix="0" xfId="0">
      <alignment horizontal="right"/>
    </xf>
    <xf numFmtId="10" fontId="5" fillId="0" borderId="1" applyAlignment="1" pivotButton="0" quotePrefix="0" xfId="0">
      <alignment horizontal="right"/>
    </xf>
    <xf numFmtId="2" fontId="5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3" fontId="0" fillId="0" borderId="1" pivotButton="0" quotePrefix="0" xfId="0"/>
    <xf numFmtId="10" fontId="0" fillId="0" borderId="1" pivotButton="0" quotePrefix="0" xfId="0"/>
    <xf numFmtId="164" fontId="0" fillId="0" borderId="1" pivotButton="0" quotePrefix="0" xfId="0"/>
    <xf numFmtId="0" fontId="9" fillId="0" borderId="2" pivotButton="0" quotePrefix="0" xfId="0"/>
    <xf numFmtId="3" fontId="9" fillId="0" borderId="2" pivotButton="0" quotePrefix="0" xfId="0"/>
    <xf numFmtId="10" fontId="9" fillId="0" borderId="2" pivotButton="0" quotePrefix="0" xfId="0"/>
    <xf numFmtId="164" fontId="9" fillId="0" borderId="2" pivotButton="0" quotePrefix="0" xfId="0"/>
    <xf numFmtId="0" fontId="10" fillId="0" borderId="1" pivotButton="0" quotePrefix="0" xfId="0"/>
    <xf numFmtId="2" fontId="0" fillId="0" borderId="1" pivotButton="0" quotePrefix="0" xfId="0"/>
    <xf numFmtId="10" fontId="11" fillId="0" borderId="1" pivotButton="0" quotePrefix="0" xfId="0"/>
    <xf numFmtId="10" fontId="12" fillId="0" borderId="1" pivotButton="0" quotePrefix="0" xfId="0"/>
    <xf numFmtId="0" fontId="0" fillId="0" borderId="1" pivotButton="0" quotePrefix="0" xfId="0"/>
    <xf numFmtId="10" fontId="10" fillId="0" borderId="1" pivotButton="0" quotePrefix="0" xfId="0"/>
    <xf numFmtId="165" fontId="0" fillId="0" borderId="1" pivotButton="0" quotePrefix="0" xfId="0"/>
    <xf numFmtId="0" fontId="10" fillId="3" borderId="1" applyAlignment="1" pivotButton="0" quotePrefix="0" xfId="0">
      <alignment horizontal="center"/>
    </xf>
    <xf numFmtId="0" fontId="10" fillId="4" borderId="1" applyAlignment="1" pivotButton="0" quotePrefix="0" xfId="0">
      <alignment horizontal="center"/>
    </xf>
    <xf numFmtId="0" fontId="10" fillId="5" borderId="1" applyAlignment="1" pivotButton="0" quotePrefix="0" xfId="0">
      <alignment horizontal="center"/>
    </xf>
    <xf numFmtId="0" fontId="4" fillId="2" borderId="0" pivotButton="0" quotePrefix="0" xfId="0"/>
    <xf numFmtId="0" fontId="1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16" customWidth="1" min="3" max="3"/>
    <col width="45" customWidth="1" min="4" max="4"/>
  </cols>
  <sheetData>
    <row r="1">
      <c r="A1" s="1" t="inlineStr">
        <is>
          <t>FINSIGHT 360 | EXECUTIVE LENDING PORTFOLIO REPORT</t>
        </is>
      </c>
    </row>
    <row r="2">
      <c r="A2" s="2" t="inlineStr">
        <is>
          <t>Management Intelligence Briefing | Analysis Period: June 2007 – December 2016</t>
        </is>
      </c>
    </row>
    <row r="3"/>
    <row r="4">
      <c r="A4" s="3" t="inlineStr">
        <is>
          <t>CORE PORTFOLIO METRICS</t>
        </is>
      </c>
    </row>
    <row r="5">
      <c r="A5" s="4" t="inlineStr">
        <is>
          <t>Metric Name</t>
        </is>
      </c>
      <c r="B5" s="5" t="inlineStr">
        <is>
          <t>Portfolio Value</t>
        </is>
      </c>
      <c r="C5" s="5" t="inlineStr">
        <is>
          <t>Unit / Format</t>
        </is>
      </c>
      <c r="D5" s="5" t="inlineStr">
        <is>
          <t>Analytical Interpretation</t>
        </is>
      </c>
    </row>
    <row r="6">
      <c r="A6" s="6" t="inlineStr">
        <is>
          <t>Total Closed Facilities</t>
        </is>
      </c>
      <c r="B6" s="7" t="n">
        <v>396030</v>
      </c>
      <c r="C6" s="8" t="inlineStr">
        <is>
          <t>#,##0</t>
        </is>
      </c>
      <c r="D6" s="6" t="inlineStr">
        <is>
          <t>Total completed loan contracts in evaluation scope</t>
        </is>
      </c>
    </row>
    <row r="7">
      <c r="A7" s="6" t="inlineStr">
        <is>
          <t>Total Funded Capital Exposure</t>
        </is>
      </c>
      <c r="B7" s="9" t="n">
        <v>5589523100</v>
      </c>
      <c r="C7" s="8" t="inlineStr">
        <is>
          <t>$#,##0</t>
        </is>
      </c>
      <c r="D7" s="6" t="inlineStr">
        <is>
          <t>Aggregate original principal funded across portfolio</t>
        </is>
      </c>
    </row>
    <row r="8">
      <c r="A8" s="6" t="inlineStr">
        <is>
          <t>Average Facility Size</t>
        </is>
      </c>
      <c r="B8" s="9" t="n">
        <v>14113.88808928617</v>
      </c>
      <c r="C8" s="8" t="inlineStr">
        <is>
          <t>$#,##0</t>
        </is>
      </c>
      <c r="D8" s="6" t="inlineStr">
        <is>
          <t>Arithmetic mean of facility loan principal</t>
        </is>
      </c>
    </row>
    <row r="9">
      <c r="A9" s="6" t="inlineStr">
        <is>
          <t>Median Facility Size</t>
        </is>
      </c>
      <c r="B9" s="9" t="n">
        <v>12000</v>
      </c>
      <c r="C9" s="8" t="inlineStr">
        <is>
          <t>$#,##0</t>
        </is>
      </c>
      <c r="D9" s="6" t="inlineStr">
        <is>
          <t>Median facility size (reduces high-ticket skew)</t>
        </is>
      </c>
    </row>
    <row r="10">
      <c r="A10" s="6" t="inlineStr">
        <is>
          <t>Average Nominal Contract Rate</t>
        </is>
      </c>
      <c r="B10" s="10" t="n">
        <v>0.136394000454511</v>
      </c>
      <c r="C10" s="8" t="inlineStr">
        <is>
          <t>0.00%</t>
        </is>
      </c>
      <c r="D10" s="6" t="inlineStr">
        <is>
          <t>Nominal portfolio gross yield benchmark</t>
        </is>
      </c>
    </row>
    <row r="11">
      <c r="A11" s="6" t="inlineStr">
        <is>
          <t>Average Debt-to-Income (DTI)</t>
        </is>
      </c>
      <c r="B11" s="11" t="n">
        <v>17.37951364795596</v>
      </c>
      <c r="C11" s="8" t="inlineStr">
        <is>
          <t>0.00</t>
        </is>
      </c>
      <c r="D11" s="6" t="inlineStr">
        <is>
          <t>Average borrower monthly debt leverage ratio</t>
        </is>
      </c>
    </row>
    <row r="12">
      <c r="A12" s="6" t="inlineStr">
        <is>
          <t>Average Borrower Annual Income</t>
        </is>
      </c>
      <c r="B12" s="9" t="n">
        <v>74203.17579771734</v>
      </c>
      <c r="C12" s="8" t="inlineStr">
        <is>
          <t>$#,##0</t>
        </is>
      </c>
      <c r="D12" s="6" t="inlineStr">
        <is>
          <t>Mean self-reported gross annual borrower capacity</t>
        </is>
      </c>
    </row>
    <row r="13">
      <c r="A13" s="6" t="inlineStr">
        <is>
          <t>Fully Paid Facilities Count</t>
        </is>
      </c>
      <c r="B13" s="7" t="n">
        <v>318357</v>
      </c>
      <c r="C13" s="8" t="inlineStr">
        <is>
          <t>#,##0</t>
        </is>
      </c>
      <c r="D13" s="6" t="inlineStr">
        <is>
          <t>Borrowers who repaid principal and interest in full</t>
        </is>
      </c>
    </row>
    <row r="14">
      <c r="A14" s="6" t="inlineStr">
        <is>
          <t>Charged Off Facilities Count</t>
        </is>
      </c>
      <c r="B14" s="7" t="n">
        <v>77673</v>
      </c>
      <c r="C14" s="8" t="inlineStr">
        <is>
          <t>#,##0</t>
        </is>
      </c>
      <c r="D14" s="6" t="inlineStr">
        <is>
          <t>Facilities written off as uncollectible credit losses</t>
        </is>
      </c>
    </row>
    <row r="15">
      <c r="A15" s="6" t="inlineStr">
        <is>
          <t>Observed Default Rate</t>
        </is>
      </c>
      <c r="B15" s="10" t="n">
        <v>0.1961290811302174</v>
      </c>
      <c r="C15" s="8" t="inlineStr">
        <is>
          <t>0.00%</t>
        </is>
      </c>
      <c r="D15" s="6" t="inlineStr">
        <is>
          <t>Primary benchmark portfolio credit loss rate</t>
        </is>
      </c>
    </row>
    <row r="16">
      <c r="A16" s="6" t="inlineStr">
        <is>
          <t>Defaulted Capital Exposure</t>
        </is>
      </c>
      <c r="B16" s="9" t="n">
        <v>1174905175</v>
      </c>
      <c r="C16" s="8" t="inlineStr">
        <is>
          <t>$#,##0</t>
        </is>
      </c>
      <c r="D16" s="6" t="inlineStr">
        <is>
          <t>Original principal funded on defaulted facilities</t>
        </is>
      </c>
    </row>
    <row r="17">
      <c r="A17" s="6" t="inlineStr">
        <is>
          <t>Defaulted Capital Exposure Share</t>
        </is>
      </c>
      <c r="B17" s="10" t="n">
        <v>0.2101977492498421</v>
      </c>
      <c r="C17" s="8" t="inlineStr">
        <is>
          <t>0.00%</t>
        </is>
      </c>
      <c r="D17" s="6" t="inlineStr">
        <is>
          <t>Dollar-weighted portfolio credit loss share</t>
        </is>
      </c>
    </row>
    <row r="18"/>
    <row r="19">
      <c r="A19" s="3" t="inlineStr">
        <is>
          <t>EXECUTIVE FINDINGS &amp; MANAGEMENT BRIEFING</t>
        </is>
      </c>
    </row>
    <row r="20">
      <c r="A20" s="12" t="inlineStr">
        <is>
          <t>1. Risk Grade Monotonicity: Observed default rates escalate monotonically from 6.29% in Grade A to 45.84% in Grade G.</t>
        </is>
      </c>
    </row>
    <row r="21">
      <c r="A21" s="12" t="inlineStr">
        <is>
          <t>2. Term Structure Risk: 60-month facilities exhibit a 31.74% default rate, nearly 2.0x higher than 36-month facilities (16.00%).</t>
        </is>
      </c>
    </row>
    <row r="22">
      <c r="A22" s="12" t="inlineStr">
        <is>
          <t>3. High-Leverage Spikes: Borrowers with DTI exceeding 25% experience a 23.4% default rate, warranting strict underwriting caps.</t>
        </is>
      </c>
    </row>
    <row r="23">
      <c r="A23" s="12" t="inlineStr">
        <is>
          <t>4. Purpose Concentration: Debt consolidation represents 59.2% ($3.31B) of exposure. Small business loans exhibit 29.45% default rates.</t>
        </is>
      </c>
    </row>
    <row r="24">
      <c r="A24" s="12" t="inlineStr">
        <is>
          <t>5. Data Quality Assurance: 10 of 12 rules passed cleanly; 1 zero-income exception identified and isolated; 8 extreme DTI outliers flagged.</t>
        </is>
      </c>
    </row>
    <row r="25"/>
    <row r="26">
      <c r="A26" s="3" t="inlineStr">
        <is>
          <t>WORKBOOK SHEET INDEX</t>
        </is>
      </c>
    </row>
    <row r="27">
      <c r="A27" s="13" t="inlineStr">
        <is>
          <t>Sheet 2: Portfolio_Analysis</t>
        </is>
      </c>
      <c r="B27" s="14" t="inlineStr">
        <is>
          <t>Breakdown by loan status, term duration, and comprehensive loan purpose performance</t>
        </is>
      </c>
    </row>
    <row r="28">
      <c r="A28" s="13" t="inlineStr">
        <is>
          <t>Sheet 3: Credit_Risk_Analysis</t>
        </is>
      </c>
      <c r="B28" s="14" t="inlineStr">
        <is>
          <t>Segment diagnostics across underwriting risk grades, DTI leverage, and income bands</t>
        </is>
      </c>
    </row>
    <row r="29">
      <c r="A29" s="13" t="inlineStr">
        <is>
          <t>Sheet 4: Trends_and_Vintages</t>
        </is>
      </c>
      <c r="B29" s="14" t="inlineStr">
        <is>
          <t>Chronological origination trends and vintage default cohort maturation tracking</t>
        </is>
      </c>
    </row>
    <row r="30">
      <c r="A30" s="13" t="inlineStr">
        <is>
          <t>Sheet 5: Data_Quality</t>
        </is>
      </c>
      <c r="B30" s="14" t="inlineStr">
        <is>
          <t>Automated 12-rule validation audit log, severity rankings, and compliance metrics</t>
        </is>
      </c>
    </row>
    <row r="31">
      <c r="A31" s="13" t="inlineStr">
        <is>
          <t>Sheet 6: Data_Dictionary</t>
        </is>
      </c>
      <c r="B31" s="14" t="inlineStr">
        <is>
          <t>Comprehensive definitions, data types, and analytical usage for all data attributes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4" customWidth="1" min="3" max="3"/>
    <col width="22" customWidth="1" min="4" max="4"/>
    <col width="22" customWidth="1" min="5" max="5"/>
    <col width="22" customWidth="1" min="6" max="6"/>
    <col width="20" customWidth="1" min="7" max="7"/>
    <col width="22" customWidth="1" min="8" max="8"/>
  </cols>
  <sheetData>
    <row r="1">
      <c r="A1" s="1" t="inlineStr">
        <is>
          <t>PORTFOLIO VOLUME &amp; REPAYMENT STATUS ANALYSIS</t>
        </is>
      </c>
    </row>
    <row r="2"/>
    <row r="3">
      <c r="A3" s="3" t="inlineStr">
        <is>
          <t>1. Terminal Repayment Status Profile</t>
        </is>
      </c>
    </row>
    <row r="4">
      <c r="A4" s="4" t="inlineStr">
        <is>
          <t>Loan Status</t>
        </is>
      </c>
      <c r="B4" s="5" t="inlineStr">
        <is>
          <t>Facility Count</t>
        </is>
      </c>
      <c r="C4" s="5" t="inlineStr">
        <is>
          <t>Volume Share (%)</t>
        </is>
      </c>
      <c r="D4" s="5" t="inlineStr">
        <is>
          <t>Total Principal ($)</t>
        </is>
      </c>
      <c r="E4" s="5" t="inlineStr">
        <is>
          <t>Exposure Share (%)</t>
        </is>
      </c>
      <c r="F4" s="5" t="inlineStr">
        <is>
          <t>Average Ticket ($)</t>
        </is>
      </c>
    </row>
    <row r="5">
      <c r="A5" s="6" t="inlineStr">
        <is>
          <t>Charged Off</t>
        </is>
      </c>
      <c r="B5" s="15" t="n">
        <v>77673</v>
      </c>
      <c r="C5" s="16" t="n">
        <v>0.1961290811302174</v>
      </c>
      <c r="D5" s="17" t="n">
        <v>1174905175</v>
      </c>
      <c r="E5" s="16" t="n">
        <v>0.2101977492498421</v>
      </c>
      <c r="F5" s="17" t="n">
        <v>15126.30096687395</v>
      </c>
    </row>
    <row r="6">
      <c r="A6" s="6" t="inlineStr">
        <is>
          <t>Fully Paid</t>
        </is>
      </c>
      <c r="B6" s="15" t="n">
        <v>318357</v>
      </c>
      <c r="C6" s="16" t="n">
        <v>0.8038709188697826</v>
      </c>
      <c r="D6" s="17" t="n">
        <v>4414617925</v>
      </c>
      <c r="E6" s="16" t="n">
        <v>0.7898022507501579</v>
      </c>
      <c r="F6" s="17" t="n">
        <v>13866.87877131648</v>
      </c>
    </row>
    <row r="7">
      <c r="A7" s="18" t="inlineStr">
        <is>
          <t>Portfolio Total</t>
        </is>
      </c>
      <c r="B7" s="19">
        <f>SUM(B5:B6)</f>
        <v/>
      </c>
      <c r="C7" s="20">
        <f>SUM(C5:C6)</f>
        <v/>
      </c>
      <c r="D7" s="21">
        <f>SUM(D5:D6)</f>
        <v/>
      </c>
      <c r="E7" s="20">
        <f>SUM(E5:E6)</f>
        <v/>
      </c>
      <c r="F7" s="21">
        <f>AVERAGE(F5:F6)</f>
        <v/>
      </c>
    </row>
    <row r="8"/>
    <row r="9"/>
    <row r="10">
      <c r="A10" s="3" t="inlineStr">
        <is>
          <t>2. Loan Purpose Exposure &amp; Performance Breakdown</t>
        </is>
      </c>
    </row>
    <row r="11">
      <c r="A11" s="4" t="inlineStr">
        <is>
          <t>Loan Purpose</t>
        </is>
      </c>
      <c r="B11" s="5" t="inlineStr">
        <is>
          <t>Facility Count</t>
        </is>
      </c>
      <c r="C11" s="5" t="inlineStr">
        <is>
          <t>Exposure Share (%)</t>
        </is>
      </c>
      <c r="D11" s="5" t="inlineStr">
        <is>
          <t>Total Funded ($)</t>
        </is>
      </c>
      <c r="E11" s="5" t="inlineStr">
        <is>
          <t>Average Ticket ($)</t>
        </is>
      </c>
      <c r="F11" s="5" t="inlineStr">
        <is>
          <t>Average Rate (%)</t>
        </is>
      </c>
      <c r="G11" s="5" t="inlineStr">
        <is>
          <t>Charged Off Count</t>
        </is>
      </c>
      <c r="H11" s="5" t="inlineStr">
        <is>
          <t>Default Rate (%)</t>
        </is>
      </c>
    </row>
    <row r="12">
      <c r="A12" s="6" t="inlineStr">
        <is>
          <t>debt_consolidation</t>
        </is>
      </c>
      <c r="B12" s="15" t="n">
        <v>234507</v>
      </c>
      <c r="C12" s="16" t="n">
        <v>0.6242244307032204</v>
      </c>
      <c r="D12" s="17" t="n">
        <v>3489116875</v>
      </c>
      <c r="E12" s="17" t="n">
        <v>14878.51908471815</v>
      </c>
      <c r="F12" s="16" t="n">
        <v>0.1393663958858371</v>
      </c>
      <c r="G12" s="15" t="n">
        <v>48640</v>
      </c>
      <c r="H12" s="16" t="n">
        <v>0.2074138511856789</v>
      </c>
    </row>
    <row r="13">
      <c r="A13" s="6" t="inlineStr">
        <is>
          <t>credit_card</t>
        </is>
      </c>
      <c r="B13" s="15" t="n">
        <v>83019</v>
      </c>
      <c r="C13" s="16" t="n">
        <v>0.2150999653262011</v>
      </c>
      <c r="D13" s="17" t="n">
        <v>1202306225</v>
      </c>
      <c r="E13" s="17" t="n">
        <v>14482.30194292873</v>
      </c>
      <c r="F13" s="16" t="n">
        <v>0.1236040894253123</v>
      </c>
      <c r="G13" s="15" t="n">
        <v>13874</v>
      </c>
      <c r="H13" s="16" t="n">
        <v>0.1671183704935015</v>
      </c>
    </row>
    <row r="14">
      <c r="A14" s="6" t="inlineStr">
        <is>
          <t>home_improvement</t>
        </is>
      </c>
      <c r="B14" s="15" t="n">
        <v>24030</v>
      </c>
      <c r="C14" s="16" t="n">
        <v>0.06067792259414761</v>
      </c>
      <c r="D14" s="17" t="n">
        <v>339160650</v>
      </c>
      <c r="E14" s="17" t="n">
        <v>14114.05118601748</v>
      </c>
      <c r="F14" s="16" t="n">
        <v>0.1314710986267166</v>
      </c>
      <c r="G14" s="15" t="n">
        <v>4087</v>
      </c>
      <c r="H14" s="16" t="n">
        <v>0.1700790678318768</v>
      </c>
    </row>
    <row r="15">
      <c r="A15" s="6" t="inlineStr">
        <is>
          <t>other</t>
        </is>
      </c>
      <c r="B15" s="15" t="n">
        <v>21185</v>
      </c>
      <c r="C15" s="16" t="n">
        <v>0.0364934398428374</v>
      </c>
      <c r="D15" s="17" t="n">
        <v>203980925</v>
      </c>
      <c r="E15" s="17" t="n">
        <v>9628.554401699315</v>
      </c>
      <c r="F15" s="16" t="n">
        <v>0.152404163323106</v>
      </c>
      <c r="G15" s="15" t="n">
        <v>4495</v>
      </c>
      <c r="H15" s="16" t="n">
        <v>0.2121784281331131</v>
      </c>
    </row>
    <row r="16">
      <c r="A16" s="6" t="inlineStr">
        <is>
          <t>major_purchase</t>
        </is>
      </c>
      <c r="B16" s="15" t="n">
        <v>8790</v>
      </c>
      <c r="C16" s="16" t="n">
        <v>0.01718665855410813</v>
      </c>
      <c r="D16" s="17" t="n">
        <v>96065225</v>
      </c>
      <c r="E16" s="17" t="n">
        <v>10928.9220705347</v>
      </c>
      <c r="F16" s="16" t="n">
        <v>0.1265635153583618</v>
      </c>
      <c r="G16" s="15" t="n">
        <v>1448</v>
      </c>
      <c r="H16" s="16" t="n">
        <v>0.1647326507394767</v>
      </c>
    </row>
    <row r="17">
      <c r="A17" s="6" t="inlineStr">
        <is>
          <t>small_business</t>
        </is>
      </c>
      <c r="B17" s="15" t="n">
        <v>5701</v>
      </c>
      <c r="C17" s="16" t="n">
        <v>0.0156941206665735</v>
      </c>
      <c r="D17" s="17" t="n">
        <v>87722650</v>
      </c>
      <c r="E17" s="17" t="n">
        <v>15387.23908086301</v>
      </c>
      <c r="F17" s="16" t="n">
        <v>0.159577284686897</v>
      </c>
      <c r="G17" s="15" t="n">
        <v>1679</v>
      </c>
      <c r="H17" s="16" t="n">
        <v>0.294509735134187</v>
      </c>
    </row>
    <row r="18">
      <c r="A18" s="6" t="inlineStr">
        <is>
          <t>car</t>
        </is>
      </c>
      <c r="B18" s="15" t="n">
        <v>4697</v>
      </c>
      <c r="C18" s="16" t="n">
        <v>0.006908630541306825</v>
      </c>
      <c r="D18" s="17" t="n">
        <v>38615950</v>
      </c>
      <c r="E18" s="17" t="n">
        <v>8221.407281243346</v>
      </c>
      <c r="F18" s="16" t="n">
        <v>0.1186680860123483</v>
      </c>
      <c r="G18" s="15" t="n">
        <v>633</v>
      </c>
      <c r="H18" s="16" t="n">
        <v>0.1347668724717905</v>
      </c>
    </row>
    <row r="19">
      <c r="A19" s="6" t="inlineStr">
        <is>
          <t>medical</t>
        </is>
      </c>
      <c r="B19" s="15" t="n">
        <v>4196</v>
      </c>
      <c r="C19" s="16" t="n">
        <v>0.006722313214878743</v>
      </c>
      <c r="D19" s="17" t="n">
        <v>37574525</v>
      </c>
      <c r="E19" s="17" t="n">
        <v>8954.843898951382</v>
      </c>
      <c r="F19" s="16" t="n">
        <v>0.1484268112488084</v>
      </c>
      <c r="G19" s="15" t="n">
        <v>911</v>
      </c>
      <c r="H19" s="16" t="n">
        <v>0.2171115347950429</v>
      </c>
    </row>
    <row r="20">
      <c r="A20" s="6" t="inlineStr">
        <is>
          <t>house</t>
        </is>
      </c>
      <c r="B20" s="15" t="n">
        <v>2201</v>
      </c>
      <c r="C20" s="16" t="n">
        <v>0.006062203231613802</v>
      </c>
      <c r="D20" s="17" t="n">
        <v>33884825</v>
      </c>
      <c r="E20" s="17" t="n">
        <v>15395.19536574284</v>
      </c>
      <c r="F20" s="16" t="n">
        <v>0.1561787823716492</v>
      </c>
      <c r="G20" s="15" t="n">
        <v>434</v>
      </c>
      <c r="H20" s="16" t="n">
        <v>0.1971830985915493</v>
      </c>
    </row>
    <row r="21">
      <c r="A21" s="6" t="inlineStr">
        <is>
          <t>moving</t>
        </is>
      </c>
      <c r="B21" s="15" t="n">
        <v>2854</v>
      </c>
      <c r="C21" s="16" t="n">
        <v>0.004020647128195964</v>
      </c>
      <c r="D21" s="17" t="n">
        <v>22473500</v>
      </c>
      <c r="E21" s="17" t="n">
        <v>7874.386825508059</v>
      </c>
      <c r="F21" s="16" t="n">
        <v>0.1566628591450596</v>
      </c>
      <c r="G21" s="15" t="n">
        <v>670</v>
      </c>
      <c r="H21" s="16" t="n">
        <v>0.2347582340574632</v>
      </c>
    </row>
    <row r="22">
      <c r="A22" s="6" t="inlineStr">
        <is>
          <t>wedding</t>
        </is>
      </c>
      <c r="B22" s="15" t="n">
        <v>1812</v>
      </c>
      <c r="C22" s="16" t="n">
        <v>0.003316924300751168</v>
      </c>
      <c r="D22" s="17" t="n">
        <v>18540025</v>
      </c>
      <c r="E22" s="17" t="n">
        <v>10231.80187637969</v>
      </c>
      <c r="F22" s="16" t="n">
        <v>0.1400323399558499</v>
      </c>
      <c r="G22" s="15" t="n">
        <v>219</v>
      </c>
      <c r="H22" s="16" t="n">
        <v>0.1208609271523179</v>
      </c>
    </row>
    <row r="23">
      <c r="A23" s="6" t="inlineStr">
        <is>
          <t>vacation</t>
        </is>
      </c>
      <c r="B23" s="15" t="n">
        <v>2452</v>
      </c>
      <c r="C23" s="16" t="n">
        <v>0.002728685386415167</v>
      </c>
      <c r="D23" s="17" t="n">
        <v>15252050</v>
      </c>
      <c r="E23" s="17" t="n">
        <v>6220.248776508973</v>
      </c>
      <c r="F23" s="16" t="n">
        <v>0.1459798939641109</v>
      </c>
      <c r="G23" s="15" t="n">
        <v>464</v>
      </c>
      <c r="H23" s="16" t="n">
        <v>0.1892332789559543</v>
      </c>
    </row>
    <row r="24">
      <c r="A24" s="6" t="inlineStr">
        <is>
          <t>renewable_energy</t>
        </is>
      </c>
      <c r="B24" s="15" t="n">
        <v>329</v>
      </c>
      <c r="C24" s="16" t="n">
        <v>0.0005504494649999747</v>
      </c>
      <c r="D24" s="17" t="n">
        <v>3076750</v>
      </c>
      <c r="E24" s="17" t="n">
        <v>9351.823708206686</v>
      </c>
      <c r="F24" s="16" t="n">
        <v>0.1498039513677812</v>
      </c>
      <c r="G24" s="15" t="n">
        <v>77</v>
      </c>
      <c r="H24" s="16" t="n">
        <v>0.2340425531914894</v>
      </c>
    </row>
    <row r="25">
      <c r="A25" s="6" t="inlineStr">
        <is>
          <t>educational</t>
        </is>
      </c>
      <c r="B25" s="15" t="n">
        <v>257</v>
      </c>
      <c r="C25" s="16" t="n">
        <v>0.0003136090447501684</v>
      </c>
      <c r="D25" s="17" t="n">
        <v>1752925</v>
      </c>
      <c r="E25" s="17" t="n">
        <v>6820.719844357976</v>
      </c>
      <c r="F25" s="16" t="n">
        <v>0.1168933852140078</v>
      </c>
      <c r="G25" s="15" t="n">
        <v>42</v>
      </c>
      <c r="H25" s="16" t="n">
        <v>0.1634241245136187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7" customWidth="1" min="2" max="2"/>
    <col width="23" customWidth="1" min="3" max="3"/>
    <col width="21" customWidth="1" min="4" max="4"/>
    <col width="22" customWidth="1" min="5" max="5"/>
    <col width="28" customWidth="1" min="6" max="6"/>
    <col width="21" customWidth="1" min="7" max="7"/>
    <col width="28" customWidth="1" min="8" max="8"/>
  </cols>
  <sheetData>
    <row r="1">
      <c r="A1" s="1" t="inlineStr">
        <is>
          <t>CREDIT RISK SEGMENTATION &amp; DEFAULT INTELLIGENCE</t>
        </is>
      </c>
    </row>
    <row r="2"/>
    <row r="3">
      <c r="A3" s="3" t="inlineStr">
        <is>
          <t>1. Underwriting Risk Grade Performance Matrix</t>
        </is>
      </c>
    </row>
    <row r="4">
      <c r="A4" s="4" t="inlineStr">
        <is>
          <t>Risk Grade</t>
        </is>
      </c>
      <c r="B4" s="5" t="inlineStr">
        <is>
          <t>Facility Count</t>
        </is>
      </c>
      <c r="C4" s="5" t="inlineStr">
        <is>
          <t>Exposure Share (%)</t>
        </is>
      </c>
      <c r="D4" s="5" t="inlineStr">
        <is>
          <t>Total Capital ($)</t>
        </is>
      </c>
      <c r="E4" s="5" t="inlineStr">
        <is>
          <t>Average Ticket ($)</t>
        </is>
      </c>
      <c r="F4" s="5" t="inlineStr">
        <is>
          <t>Average Interest Rate (%)</t>
        </is>
      </c>
      <c r="G4" s="5" t="inlineStr">
        <is>
          <t>Average DTI</t>
        </is>
      </c>
      <c r="H4" s="5" t="inlineStr">
        <is>
          <t>Observed Default Rate (%)</t>
        </is>
      </c>
    </row>
    <row r="5">
      <c r="A5" s="22" t="inlineStr">
        <is>
          <t>A</t>
        </is>
      </c>
      <c r="B5" s="15" t="n">
        <v>64187</v>
      </c>
      <c r="C5" s="16" t="n">
        <v>0.1526693976808147</v>
      </c>
      <c r="D5" s="17" t="n">
        <v>853349125</v>
      </c>
      <c r="E5" s="17" t="n">
        <v>13294.73452568277</v>
      </c>
      <c r="F5" s="16" t="n">
        <v>0.07392853537320641</v>
      </c>
      <c r="G5" s="23" t="n">
        <v>14.72399333198311</v>
      </c>
      <c r="H5" s="24" t="n">
        <v>0.0628787760761525</v>
      </c>
    </row>
    <row r="6">
      <c r="A6" s="22" t="inlineStr">
        <is>
          <t>B</t>
        </is>
      </c>
      <c r="B6" s="15" t="n">
        <v>116018</v>
      </c>
      <c r="C6" s="16" t="n">
        <v>0.2676676611283707</v>
      </c>
      <c r="D6" s="17" t="n">
        <v>1496134575</v>
      </c>
      <c r="E6" s="17" t="n">
        <v>12895.71079487666</v>
      </c>
      <c r="F6" s="16" t="n">
        <v>0.1122313080728852</v>
      </c>
      <c r="G6" s="23" t="n">
        <v>16.65254693237256</v>
      </c>
      <c r="H6" s="24" t="n">
        <v>0.1257304900963644</v>
      </c>
    </row>
    <row r="7">
      <c r="A7" s="22" t="inlineStr">
        <is>
          <t>C</t>
        </is>
      </c>
      <c r="B7" s="15" t="n">
        <v>105987</v>
      </c>
      <c r="C7" s="16" t="n">
        <v>0.2609386881324455</v>
      </c>
      <c r="D7" s="17" t="n">
        <v>1458522825</v>
      </c>
      <c r="E7" s="17" t="n">
        <v>13761.33700359478</v>
      </c>
      <c r="F7" s="16" t="n">
        <v>0.1431799239529376</v>
      </c>
      <c r="G7" s="23" t="n">
        <v>18.03136611093813</v>
      </c>
      <c r="H7" s="25" t="n">
        <v>0.2118089954428373</v>
      </c>
    </row>
    <row r="8">
      <c r="A8" s="22" t="inlineStr">
        <is>
          <t>D</t>
        </is>
      </c>
      <c r="B8" s="15" t="n">
        <v>63524</v>
      </c>
      <c r="C8" s="16" t="n">
        <v>0.1670108090259078</v>
      </c>
      <c r="D8" s="17" t="n">
        <v>933510775</v>
      </c>
      <c r="E8" s="17" t="n">
        <v>14695.40291858195</v>
      </c>
      <c r="F8" s="16" t="n">
        <v>0.1748452836723128</v>
      </c>
      <c r="G8" s="23" t="n">
        <v>18.78078615956174</v>
      </c>
      <c r="H8" s="25" t="n">
        <v>0.2886782948177067</v>
      </c>
    </row>
    <row r="9">
      <c r="A9" s="22" t="inlineStr">
        <is>
          <t>E</t>
        </is>
      </c>
      <c r="B9" s="15" t="n">
        <v>31488</v>
      </c>
      <c r="C9" s="16" t="n">
        <v>0.09984404125639985</v>
      </c>
      <c r="D9" s="17" t="n">
        <v>558080575</v>
      </c>
      <c r="E9" s="17" t="n">
        <v>17723.59549669715</v>
      </c>
      <c r="F9" s="16" t="n">
        <v>0.2028300685975609</v>
      </c>
      <c r="G9" s="23" t="n">
        <v>19.48480849847561</v>
      </c>
      <c r="H9" s="25" t="n">
        <v>0.3736344004065041</v>
      </c>
    </row>
    <row r="10">
      <c r="A10" s="22" t="inlineStr">
        <is>
          <t>F</t>
        </is>
      </c>
      <c r="B10" s="15" t="n">
        <v>11772</v>
      </c>
      <c r="C10" s="16" t="n">
        <v>0.04046102788268287</v>
      </c>
      <c r="D10" s="17" t="n">
        <v>226157850</v>
      </c>
      <c r="E10" s="17" t="n">
        <v>19211.50611620795</v>
      </c>
      <c r="F10" s="16" t="n">
        <v>0.2370114424057085</v>
      </c>
      <c r="G10" s="23" t="n">
        <v>19.47543917770982</v>
      </c>
      <c r="H10" s="25" t="n">
        <v>0.4278797145769623</v>
      </c>
    </row>
    <row r="11">
      <c r="A11" s="22" t="inlineStr">
        <is>
          <t>G</t>
        </is>
      </c>
      <c r="B11" s="15" t="n">
        <v>3054</v>
      </c>
      <c r="C11" s="16" t="n">
        <v>0.01140837489337865</v>
      </c>
      <c r="D11" s="17" t="n">
        <v>63767375</v>
      </c>
      <c r="E11" s="17" t="n">
        <v>20879.95252128356</v>
      </c>
      <c r="F11" s="16" t="n">
        <v>0.2590435166994106</v>
      </c>
      <c r="G11" s="23" t="n">
        <v>19.25378519973805</v>
      </c>
      <c r="H11" s="25" t="n">
        <v>0.4783889980353634</v>
      </c>
    </row>
    <row r="12"/>
    <row r="13"/>
    <row r="14">
      <c r="A14" s="3" t="inlineStr">
        <is>
          <t>2. Debt-to-Income (DTI) Leverage Performance</t>
        </is>
      </c>
    </row>
    <row r="15">
      <c r="A15" s="4" t="inlineStr">
        <is>
          <t>DTI Leverage Band</t>
        </is>
      </c>
      <c r="B15" s="5" t="inlineStr">
        <is>
          <t>Facility Count</t>
        </is>
      </c>
      <c r="C15" s="5" t="inlineStr">
        <is>
          <t>Total Funded ($)</t>
        </is>
      </c>
      <c r="D15" s="5" t="inlineStr">
        <is>
          <t>Average Ticket ($)</t>
        </is>
      </c>
      <c r="E15" s="5" t="inlineStr">
        <is>
          <t>Average Rate (%)</t>
        </is>
      </c>
      <c r="F15" s="5" t="inlineStr">
        <is>
          <t>Observed Default Rate (%)</t>
        </is>
      </c>
    </row>
    <row r="16">
      <c r="A16" s="6" t="inlineStr">
        <is>
          <t>&lt; 10%</t>
        </is>
      </c>
      <c r="B16" s="15" t="n">
        <v>78954</v>
      </c>
      <c r="C16" s="17" t="n">
        <v>1039997875</v>
      </c>
      <c r="D16" s="17" t="n">
        <v>13172.19995187071</v>
      </c>
      <c r="E16" s="16" t="n">
        <v>0.1270999430047876</v>
      </c>
      <c r="F16" s="24" t="n">
        <v>0.1371811434506168</v>
      </c>
    </row>
    <row r="17">
      <c r="A17" s="6" t="inlineStr">
        <is>
          <t>10% - 15%</t>
        </is>
      </c>
      <c r="B17" s="15" t="n">
        <v>84724</v>
      </c>
      <c r="C17" s="17" t="n">
        <v>1204926375</v>
      </c>
      <c r="D17" s="17" t="n">
        <v>14221.78337897172</v>
      </c>
      <c r="E17" s="16" t="n">
        <v>0.1313406673433738</v>
      </c>
      <c r="F17" s="24" t="n">
        <v>0.1608399036872669</v>
      </c>
    </row>
    <row r="18">
      <c r="A18" s="6" t="inlineStr">
        <is>
          <t>15% - 20%</t>
        </is>
      </c>
      <c r="B18" s="15" t="n">
        <v>87973</v>
      </c>
      <c r="C18" s="17" t="n">
        <v>1275802150</v>
      </c>
      <c r="D18" s="17" t="n">
        <v>14502.20124356337</v>
      </c>
      <c r="E18" s="16" t="n">
        <v>0.1359340092983074</v>
      </c>
      <c r="F18" s="24" t="n">
        <v>0.1885578529776181</v>
      </c>
    </row>
    <row r="19">
      <c r="A19" s="6" t="inlineStr">
        <is>
          <t>20% - 25%</t>
        </is>
      </c>
      <c r="B19" s="15" t="n">
        <v>71502</v>
      </c>
      <c r="C19" s="17" t="n">
        <v>1030237725</v>
      </c>
      <c r="D19" s="17" t="n">
        <v>14408.51619535118</v>
      </c>
      <c r="E19" s="16" t="n">
        <v>0.140293212777265</v>
      </c>
      <c r="F19" s="25" t="n">
        <v>0.2204553718777097</v>
      </c>
    </row>
    <row r="20">
      <c r="A20" s="6" t="inlineStr">
        <is>
          <t>25% - 30%</t>
        </is>
      </c>
      <c r="B20" s="15" t="n">
        <v>44542</v>
      </c>
      <c r="C20" s="17" t="n">
        <v>642190725</v>
      </c>
      <c r="D20" s="17" t="n">
        <v>14417.6445826411</v>
      </c>
      <c r="E20" s="16" t="n">
        <v>0.1443271361860716</v>
      </c>
      <c r="F20" s="25" t="n">
        <v>0.2619774594764492</v>
      </c>
    </row>
    <row r="21">
      <c r="A21" s="6" t="inlineStr">
        <is>
          <t>30%+</t>
        </is>
      </c>
      <c r="B21" s="15" t="n">
        <v>28335</v>
      </c>
      <c r="C21" s="17" t="n">
        <v>396368250</v>
      </c>
      <c r="D21" s="17" t="n">
        <v>13988.64478560085</v>
      </c>
      <c r="E21" s="16" t="n">
        <v>0.1565192588671255</v>
      </c>
      <c r="F21" s="25" t="n">
        <v>0.3245103229221811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9" customWidth="1" min="2" max="2"/>
    <col width="26" customWidth="1" min="3" max="3"/>
    <col width="24" customWidth="1" min="4" max="4"/>
    <col width="26" customWidth="1" min="5" max="5"/>
    <col width="28" customWidth="1" min="6" max="6"/>
    <col width="20" customWidth="1" min="7" max="7"/>
    <col width="27" customWidth="1" min="8" max="8"/>
  </cols>
  <sheetData>
    <row r="1">
      <c r="A1" s="1" t="inlineStr">
        <is>
          <t>ORIGINATION VINTAGE COHORT &amp; TIME-SERIES INTELLIGENCE</t>
        </is>
      </c>
    </row>
    <row r="2"/>
    <row r="3">
      <c r="A3" s="3" t="inlineStr">
        <is>
          <t>Annual Origination Trends &amp; Vintage Default Maturation (2007–2016)</t>
        </is>
      </c>
    </row>
    <row r="4">
      <c r="A4" s="4" t="inlineStr">
        <is>
          <t>Vintage Year</t>
        </is>
      </c>
      <c r="B4" s="5" t="inlineStr">
        <is>
          <t>Originated Loans</t>
        </is>
      </c>
      <c r="C4" s="5" t="inlineStr">
        <is>
          <t>Origination Capital ($)</t>
        </is>
      </c>
      <c r="D4" s="5" t="inlineStr">
        <is>
          <t>YoY Volume Growth (%)</t>
        </is>
      </c>
      <c r="E4" s="5" t="inlineStr">
        <is>
          <t>Average Loan Sizing ($)</t>
        </is>
      </c>
      <c r="F4" s="5" t="inlineStr">
        <is>
          <t>Average Contract Rate (%)</t>
        </is>
      </c>
      <c r="G4" s="5" t="inlineStr">
        <is>
          <t>Charged Off Loans</t>
        </is>
      </c>
      <c r="H4" s="5" t="inlineStr">
        <is>
          <t>Vintage Default Rate (%)</t>
        </is>
      </c>
    </row>
    <row r="5">
      <c r="A5" s="22" t="n">
        <v>2007</v>
      </c>
      <c r="B5" s="15" t="n">
        <v>195</v>
      </c>
      <c r="C5" s="17" t="n">
        <v>1726625</v>
      </c>
      <c r="D5" s="26" t="inlineStr">
        <is>
          <t>-</t>
        </is>
      </c>
      <c r="E5" s="17" t="n">
        <v>8854.48717948718</v>
      </c>
      <c r="F5" s="16" t="n">
        <v>0.1030707692307692</v>
      </c>
      <c r="G5" s="15" t="n">
        <v>32</v>
      </c>
      <c r="H5" s="27" t="n">
        <v>0.1641025641025641</v>
      </c>
    </row>
    <row r="6">
      <c r="A6" s="22" t="n">
        <v>2008</v>
      </c>
      <c r="B6" s="15" t="n">
        <v>1240</v>
      </c>
      <c r="C6" s="17" t="n">
        <v>11244075</v>
      </c>
      <c r="D6" s="16" t="n">
        <v>5.512169695214653</v>
      </c>
      <c r="E6" s="17" t="n">
        <v>9067.802419354839</v>
      </c>
      <c r="F6" s="16" t="n">
        <v>0.1114511290322581</v>
      </c>
      <c r="G6" s="15" t="n">
        <v>196</v>
      </c>
      <c r="H6" s="27" t="n">
        <v>0.1580645161290322</v>
      </c>
    </row>
    <row r="7">
      <c r="A7" s="22" t="n">
        <v>2009</v>
      </c>
      <c r="B7" s="15" t="n">
        <v>3826</v>
      </c>
      <c r="C7" s="17" t="n">
        <v>37625400</v>
      </c>
      <c r="D7" s="16" t="n">
        <v>2.346242354306602</v>
      </c>
      <c r="E7" s="17" t="n">
        <v>9834.134866701515</v>
      </c>
      <c r="F7" s="16" t="n">
        <v>0.1217783847360167</v>
      </c>
      <c r="G7" s="15" t="n">
        <v>469</v>
      </c>
      <c r="H7" s="27" t="n">
        <v>0.1225823314166231</v>
      </c>
    </row>
    <row r="8">
      <c r="A8" s="22" t="n">
        <v>2010</v>
      </c>
      <c r="B8" s="15" t="n">
        <v>9258</v>
      </c>
      <c r="C8" s="17" t="n">
        <v>97876250</v>
      </c>
      <c r="D8" s="16" t="n">
        <v>1.601334470862768</v>
      </c>
      <c r="E8" s="17" t="n">
        <v>10572.07280190106</v>
      </c>
      <c r="F8" s="16" t="n">
        <v>0.1171900302441132</v>
      </c>
      <c r="G8" s="15" t="n">
        <v>1223</v>
      </c>
      <c r="H8" s="27" t="n">
        <v>0.132101965867358</v>
      </c>
    </row>
    <row r="9">
      <c r="A9" s="22" t="n">
        <v>2011</v>
      </c>
      <c r="B9" s="15" t="n">
        <v>17435</v>
      </c>
      <c r="C9" s="17" t="n">
        <v>209374100</v>
      </c>
      <c r="D9" s="16" t="n">
        <v>1.139171658088658</v>
      </c>
      <c r="E9" s="17" t="n">
        <v>12008.83854316031</v>
      </c>
      <c r="F9" s="16" t="n">
        <v>0.1221667565242329</v>
      </c>
      <c r="G9" s="15" t="n">
        <v>2658</v>
      </c>
      <c r="H9" s="27" t="n">
        <v>0.1524519644393461</v>
      </c>
    </row>
    <row r="10">
      <c r="A10" s="22" t="n">
        <v>2012</v>
      </c>
      <c r="B10" s="15" t="n">
        <v>41202</v>
      </c>
      <c r="C10" s="17" t="n">
        <v>541138850</v>
      </c>
      <c r="D10" s="16" t="n">
        <v>1.58455487092243</v>
      </c>
      <c r="E10" s="17" t="n">
        <v>13133.80054366293</v>
      </c>
      <c r="F10" s="16" t="n">
        <v>0.1345928619969904</v>
      </c>
      <c r="G10" s="15" t="n">
        <v>6790</v>
      </c>
      <c r="H10" s="27" t="n">
        <v>0.1647978253482841</v>
      </c>
    </row>
    <row r="11">
      <c r="A11" s="22" t="n">
        <v>2013</v>
      </c>
      <c r="B11" s="15" t="n">
        <v>97662</v>
      </c>
      <c r="C11" s="17" t="n">
        <v>1377496775</v>
      </c>
      <c r="D11" s="16" t="n">
        <v>1.545551432871619</v>
      </c>
      <c r="E11" s="17" t="n">
        <v>14104.73648911552</v>
      </c>
      <c r="F11" s="16" t="n">
        <v>0.1422820902705249</v>
      </c>
      <c r="G11" s="15" t="n">
        <v>15372</v>
      </c>
      <c r="H11" s="27" t="n">
        <v>0.1574000122872765</v>
      </c>
    </row>
    <row r="12">
      <c r="A12" s="22" t="n">
        <v>2014</v>
      </c>
      <c r="B12" s="15" t="n">
        <v>102860</v>
      </c>
      <c r="C12" s="17" t="n">
        <v>1491345075</v>
      </c>
      <c r="D12" s="16" t="n">
        <v>0.08264868714483931</v>
      </c>
      <c r="E12" s="17" t="n">
        <v>14498.78548512541</v>
      </c>
      <c r="F12" s="16" t="n">
        <v>0.1390602459653899</v>
      </c>
      <c r="G12" s="15" t="n">
        <v>23772</v>
      </c>
      <c r="H12" s="27" t="n">
        <v>0.2311102469375851</v>
      </c>
    </row>
    <row r="13">
      <c r="A13" s="22" t="n">
        <v>2015</v>
      </c>
      <c r="B13" s="15" t="n">
        <v>94264</v>
      </c>
      <c r="C13" s="17" t="n">
        <v>1405301025</v>
      </c>
      <c r="D13" s="16" t="n">
        <v>-0.05769560073144042</v>
      </c>
      <c r="E13" s="17" t="n">
        <v>14908.14123101078</v>
      </c>
      <c r="F13" s="16" t="n">
        <v>0.1332676408809302</v>
      </c>
      <c r="G13" s="15" t="n">
        <v>23473</v>
      </c>
      <c r="H13" s="27" t="n">
        <v>0.2490134091487737</v>
      </c>
    </row>
    <row r="14">
      <c r="A14" s="22" t="n">
        <v>2016</v>
      </c>
      <c r="B14" s="15" t="n">
        <v>28088</v>
      </c>
      <c r="C14" s="17" t="n">
        <v>416394925</v>
      </c>
      <c r="D14" s="16" t="n">
        <v>-0.7036969890490189</v>
      </c>
      <c r="E14" s="17" t="n">
        <v>14824.65554685275</v>
      </c>
      <c r="F14" s="16" t="n">
        <v>0.1377757262888066</v>
      </c>
      <c r="G14" s="15" t="n">
        <v>3688</v>
      </c>
      <c r="H14" s="27" t="n">
        <v>0.1313016234690971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6" customWidth="1" min="2" max="2"/>
    <col width="18" customWidth="1" min="3" max="3"/>
    <col width="17" customWidth="1" min="4" max="4"/>
    <col width="25" customWidth="1" min="5" max="5"/>
    <col width="15" customWidth="1" min="6" max="6"/>
    <col width="45" customWidth="1" min="7" max="7"/>
    <col width="22" customWidth="1" min="8" max="8"/>
  </cols>
  <sheetData>
    <row r="1">
      <c r="A1" s="1" t="inlineStr">
        <is>
          <t>DATA GOVERNANCE &amp; AUTOMATED AUDIT RESULTS</t>
        </is>
      </c>
    </row>
    <row r="2"/>
    <row r="3">
      <c r="A3" s="3" t="inlineStr">
        <is>
          <t>Rule-by-Rule Compliance &amp; Exception Audit Log</t>
        </is>
      </c>
    </row>
    <row r="4">
      <c r="A4" s="4" t="inlineStr">
        <is>
          <t>Rule Identifier</t>
        </is>
      </c>
      <c r="B4" s="5" t="inlineStr">
        <is>
          <t>Severity</t>
        </is>
      </c>
      <c r="C4" s="4" t="inlineStr">
        <is>
          <t>Records Checked</t>
        </is>
      </c>
      <c r="D4" s="4" t="inlineStr">
        <is>
          <t>Failures Found</t>
        </is>
      </c>
      <c r="E4" s="4" t="inlineStr">
        <is>
          <t>Failure Rate (%)</t>
        </is>
      </c>
      <c r="F4" s="5" t="inlineStr">
        <is>
          <t>Audit Result</t>
        </is>
      </c>
      <c r="G4" s="4" t="inlineStr">
        <is>
          <t>Rule Description &amp; Business Rationale</t>
        </is>
      </c>
      <c r="H4" s="4" t="inlineStr">
        <is>
          <t>Audit Timestamp</t>
        </is>
      </c>
    </row>
    <row r="5">
      <c r="A5" s="22" t="inlineStr">
        <is>
          <t>DQ-001_REQUIRED_FIELDS_MISSING</t>
        </is>
      </c>
      <c r="B5" s="6" t="inlineStr">
        <is>
          <t>CRITICAL</t>
        </is>
      </c>
      <c r="C5" s="15" t="n">
        <v>396030</v>
      </c>
      <c r="D5" s="15" t="n">
        <v>0</v>
      </c>
      <c r="E5" s="28" t="n">
        <v>0</v>
      </c>
      <c r="F5" s="29" t="inlineStr">
        <is>
          <t>PASS</t>
        </is>
      </c>
      <c r="G5" s="6" t="inlineStr">
        <is>
          <t>Required fields evaluated: ['loan_amnt', 'term', 'grade', 'annual_inc', 'issue_d', 'loan_status']</t>
        </is>
      </c>
      <c r="H5" s="8" t="inlineStr">
        <is>
          <t>2026-10-28T10:46:45</t>
        </is>
      </c>
    </row>
    <row r="6">
      <c r="A6" s="22" t="inlineStr">
        <is>
          <t>DQ-002_UNIQUE_LOAN_IDENTIFIER</t>
        </is>
      </c>
      <c r="B6" s="6" t="inlineStr">
        <is>
          <t>CRITICAL</t>
        </is>
      </c>
      <c r="C6" s="15" t="n">
        <v>396030</v>
      </c>
      <c r="D6" s="15" t="n">
        <v>0</v>
      </c>
      <c r="E6" s="28" t="n">
        <v>0</v>
      </c>
      <c r="F6" s="29" t="inlineStr">
        <is>
          <t>PASS</t>
        </is>
      </c>
      <c r="G6" s="6" t="inlineStr">
        <is>
          <t>Checks uniqueness of primary surrogate key 'loan_id'.</t>
        </is>
      </c>
      <c r="H6" s="8" t="inlineStr">
        <is>
          <t>2026-10-28T10:46:45</t>
        </is>
      </c>
    </row>
    <row r="7">
      <c r="A7" s="22" t="inlineStr">
        <is>
          <t>DQ-003_DUPLICATE_RECORDS</t>
        </is>
      </c>
      <c r="B7" s="6" t="inlineStr">
        <is>
          <t>CRITICAL</t>
        </is>
      </c>
      <c r="C7" s="15" t="n">
        <v>396030</v>
      </c>
      <c r="D7" s="15" t="n">
        <v>0</v>
      </c>
      <c r="E7" s="28" t="n">
        <v>0</v>
      </c>
      <c r="F7" s="29" t="inlineStr">
        <is>
          <t>PASS</t>
        </is>
      </c>
      <c r="G7" s="6" t="inlineStr">
        <is>
          <t>Checks for fully duplicate borrower and loan rows.</t>
        </is>
      </c>
      <c r="H7" s="8" t="inlineStr">
        <is>
          <t>2026-10-28T10:46:46</t>
        </is>
      </c>
    </row>
    <row r="8">
      <c r="A8" s="22" t="inlineStr">
        <is>
          <t>DQ-004_LOAN_AMOUNT_RANGE</t>
        </is>
      </c>
      <c r="B8" s="6" t="inlineStr">
        <is>
          <t>CRITICAL</t>
        </is>
      </c>
      <c r="C8" s="15" t="n">
        <v>396030</v>
      </c>
      <c r="D8" s="15" t="n">
        <v>0</v>
      </c>
      <c r="E8" s="28" t="n">
        <v>0</v>
      </c>
      <c r="F8" s="29" t="inlineStr">
        <is>
          <t>PASS</t>
        </is>
      </c>
      <c r="G8" s="6" t="inlineStr">
        <is>
          <t>Plausible range: $500 to $50,000.</t>
        </is>
      </c>
      <c r="H8" s="8" t="inlineStr">
        <is>
          <t>2026-10-28T10:46:46</t>
        </is>
      </c>
    </row>
    <row r="9">
      <c r="A9" s="22" t="inlineStr">
        <is>
          <t>DQ-005_INTEREST_RATE_RANGE</t>
        </is>
      </c>
      <c r="B9" s="6" t="inlineStr">
        <is>
          <t>CRITICAL</t>
        </is>
      </c>
      <c r="C9" s="15" t="n">
        <v>396030</v>
      </c>
      <c r="D9" s="15" t="n">
        <v>0</v>
      </c>
      <c r="E9" s="28" t="n">
        <v>0</v>
      </c>
      <c r="F9" s="29" t="inlineStr">
        <is>
          <t>PASS</t>
        </is>
      </c>
      <c r="G9" s="6" t="inlineStr">
        <is>
          <t>Plausible nominal rate range: 4.0% to 35.0%.</t>
        </is>
      </c>
      <c r="H9" s="8" t="inlineStr">
        <is>
          <t>2026-10-28T10:46:46</t>
        </is>
      </c>
    </row>
    <row r="10">
      <c r="A10" s="22" t="inlineStr">
        <is>
          <t>DQ-006_DATE_PARSING_INTEGRITY</t>
        </is>
      </c>
      <c r="B10" s="6" t="inlineStr">
        <is>
          <t>CRITICAL</t>
        </is>
      </c>
      <c r="C10" s="15" t="n">
        <v>396030</v>
      </c>
      <c r="D10" s="15" t="n">
        <v>0</v>
      </c>
      <c r="E10" s="28" t="n">
        <v>0</v>
      </c>
      <c r="F10" s="29" t="inlineStr">
        <is>
          <t>PASS</t>
        </is>
      </c>
      <c r="G10" s="6" t="inlineStr">
        <is>
          <t>Checks that issue date parses into valid Gregorian datetime.</t>
        </is>
      </c>
      <c r="H10" s="8" t="inlineStr">
        <is>
          <t>2026-10-28T10:46:46</t>
        </is>
      </c>
    </row>
    <row r="11">
      <c r="A11" s="22" t="inlineStr">
        <is>
          <t>DQ-007_POSITIVE_ANNUAL_INCOME</t>
        </is>
      </c>
      <c r="B11" s="6" t="inlineStr">
        <is>
          <t>CRITICAL</t>
        </is>
      </c>
      <c r="C11" s="15" t="n">
        <v>396030</v>
      </c>
      <c r="D11" s="15" t="n">
        <v>1</v>
      </c>
      <c r="E11" s="28" t="n">
        <v>3e-06</v>
      </c>
      <c r="F11" s="30" t="inlineStr">
        <is>
          <t>FAIL</t>
        </is>
      </c>
      <c r="G11" s="6" t="inlineStr">
        <is>
          <t>Checks that self-reported annual income is positive and non-null.</t>
        </is>
      </c>
      <c r="H11" s="8" t="inlineStr">
        <is>
          <t>2026-10-28T10:46:46</t>
        </is>
      </c>
    </row>
    <row r="12">
      <c r="A12" s="22" t="inlineStr">
        <is>
          <t>DQ-008_KNOWN_RISK_GRADES</t>
        </is>
      </c>
      <c r="B12" s="6" t="inlineStr">
        <is>
          <t>CRITICAL</t>
        </is>
      </c>
      <c r="C12" s="15" t="n">
        <v>396030</v>
      </c>
      <c r="D12" s="15" t="n">
        <v>0</v>
      </c>
      <c r="E12" s="28" t="n">
        <v>0</v>
      </c>
      <c r="F12" s="29" t="inlineStr">
        <is>
          <t>PASS</t>
        </is>
      </c>
      <c r="G12" s="6" t="inlineStr">
        <is>
          <t>Permissible grades: ['A', 'B', 'C', 'D', 'E', 'F', 'G'].</t>
        </is>
      </c>
      <c r="H12" s="8" t="inlineStr">
        <is>
          <t>2026-10-28T10:46:46</t>
        </is>
      </c>
    </row>
    <row r="13">
      <c r="A13" s="22" t="inlineStr">
        <is>
          <t>DQ-009_TARGET_VARIABLE_INTEGRITY</t>
        </is>
      </c>
      <c r="B13" s="6" t="inlineStr">
        <is>
          <t>CRITICAL</t>
        </is>
      </c>
      <c r="C13" s="15" t="n">
        <v>396030</v>
      </c>
      <c r="D13" s="15" t="n">
        <v>0</v>
      </c>
      <c r="E13" s="28" t="n">
        <v>0</v>
      </c>
      <c r="F13" s="29" t="inlineStr">
        <is>
          <t>PASS</t>
        </is>
      </c>
      <c r="G13" s="6" t="inlineStr">
        <is>
          <t>Target 'is_default' must be strictly binary 0 or 1 with 0 nulls.</t>
        </is>
      </c>
      <c r="H13" s="8" t="inlineStr">
        <is>
          <t>2026-10-28T10:46:46</t>
        </is>
      </c>
    </row>
    <row r="14">
      <c r="A14" s="22" t="inlineStr">
        <is>
          <t>DQ-010_CHRONOLOGICAL_CREDIT_AGE</t>
        </is>
      </c>
      <c r="B14" s="6" t="inlineStr">
        <is>
          <t>WARNING</t>
        </is>
      </c>
      <c r="C14" s="15" t="n">
        <v>396030</v>
      </c>
      <c r="D14" s="15" t="n">
        <v>0</v>
      </c>
      <c r="E14" s="28" t="n">
        <v>0</v>
      </c>
      <c r="F14" s="29" t="inlineStr">
        <is>
          <t>PASS</t>
        </is>
      </c>
      <c r="G14" s="6" t="inlineStr">
        <is>
          <t>Earliest credit line date must precede or equal loan origination date.</t>
        </is>
      </c>
      <c r="H14" s="8" t="inlineStr">
        <is>
          <t>2026-10-28T10:46:46</t>
        </is>
      </c>
    </row>
    <row r="15">
      <c r="A15" s="22" t="inlineStr">
        <is>
          <t>DQ-011_RECORD_RETENTION_INTEGRITY</t>
        </is>
      </c>
      <c r="B15" s="6" t="inlineStr">
        <is>
          <t>INFORMATIONAL</t>
        </is>
      </c>
      <c r="C15" s="15" t="n">
        <v>396030</v>
      </c>
      <c r="D15" s="15" t="n">
        <v>0</v>
      </c>
      <c r="E15" s="28" t="n">
        <v>0</v>
      </c>
      <c r="F15" s="29" t="inlineStr">
        <is>
          <t>PASS</t>
        </is>
      </c>
      <c r="G15" s="6" t="inlineStr">
        <is>
          <t>Raw count: 396,030, Transformed count: 396,030.</t>
        </is>
      </c>
      <c r="H15" s="8" t="inlineStr">
        <is>
          <t>2026-10-28T10:46:46</t>
        </is>
      </c>
    </row>
    <row r="16">
      <c r="A16" s="22" t="inlineStr">
        <is>
          <t>DQ-012_EXTREME_DTI_OUTLIERS</t>
        </is>
      </c>
      <c r="B16" s="6" t="inlineStr">
        <is>
          <t>WARNING</t>
        </is>
      </c>
      <c r="C16" s="15" t="n">
        <v>396030</v>
      </c>
      <c r="D16" s="15" t="n">
        <v>8</v>
      </c>
      <c r="E16" s="28" t="n">
        <v>2e-05</v>
      </c>
      <c r="F16" s="31" t="inlineStr">
        <is>
          <t>WARNING</t>
        </is>
      </c>
      <c r="G16" s="6" t="inlineStr">
        <is>
          <t>Borrowers with DTI exceeding 100.0%, indicating severe leverage.</t>
        </is>
      </c>
      <c r="H16" s="8" t="inlineStr">
        <is>
          <t>2026-10-28T10:46:46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6" customWidth="1" min="3" max="3"/>
    <col width="45" customWidth="1" min="4" max="4"/>
  </cols>
  <sheetData>
    <row r="1">
      <c r="A1" s="1" t="inlineStr">
        <is>
          <t>FINSIGHT 360 | ANALYTICAL DATA DICTIONARY</t>
        </is>
      </c>
    </row>
    <row r="2"/>
    <row r="3">
      <c r="A3" s="3" t="inlineStr">
        <is>
          <t>Schema Definitions, Data Types, and Business Logic Mappings</t>
        </is>
      </c>
    </row>
    <row r="4">
      <c r="A4" s="32" t="inlineStr">
        <is>
          <t>Field Name</t>
        </is>
      </c>
      <c r="B4" s="32" t="inlineStr">
        <is>
          <t>Layer / Origin</t>
        </is>
      </c>
      <c r="C4" s="32" t="inlineStr">
        <is>
          <t>Data Type</t>
        </is>
      </c>
      <c r="D4" s="32" t="inlineStr">
        <is>
          <t>Business Definition &amp; Transformation Notes</t>
        </is>
      </c>
    </row>
    <row r="5">
      <c r="A5" s="22" t="inlineStr">
        <is>
          <t>loan_id</t>
        </is>
      </c>
      <c r="B5" s="6" t="inlineStr">
        <is>
          <t>Derived (Pipeline)</t>
        </is>
      </c>
      <c r="C5" s="33" t="inlineStr">
        <is>
          <t>VARCHAR(50)</t>
        </is>
      </c>
      <c r="D5" s="6" t="inlineStr">
        <is>
          <t>Deterministic unique loan identifier (LN-1000001 ...)</t>
        </is>
      </c>
    </row>
    <row r="6">
      <c r="A6" s="22" t="inlineStr">
        <is>
          <t>loan_amnt</t>
        </is>
      </c>
      <c r="B6" s="6" t="inlineStr">
        <is>
          <t>Raw LendingClub</t>
        </is>
      </c>
      <c r="C6" s="33" t="inlineStr">
        <is>
          <t>NUMERIC(12,2)</t>
        </is>
      </c>
      <c r="D6" s="6" t="inlineStr">
        <is>
          <t>Original principal amount applied for and funded ($)</t>
        </is>
      </c>
    </row>
    <row r="7">
      <c r="A7" s="22" t="inlineStr">
        <is>
          <t>term</t>
        </is>
      </c>
      <c r="B7" s="6" t="inlineStr">
        <is>
          <t>Cleaned</t>
        </is>
      </c>
      <c r="C7" s="33" t="inlineStr">
        <is>
          <t>VARCHAR(20)</t>
        </is>
      </c>
      <c r="D7" s="6" t="inlineStr">
        <is>
          <t>Duration of the loan contract ('36 months' or '60 months')</t>
        </is>
      </c>
    </row>
    <row r="8">
      <c r="A8" s="22" t="inlineStr">
        <is>
          <t>term_months</t>
        </is>
      </c>
      <c r="B8" s="6" t="inlineStr">
        <is>
          <t>Derived (Pipeline)</t>
        </is>
      </c>
      <c r="C8" s="33" t="inlineStr">
        <is>
          <t>INTEGER</t>
        </is>
      </c>
      <c r="D8" s="6" t="inlineStr">
        <is>
          <t>Numeric loan term duration (36 or 60)</t>
        </is>
      </c>
    </row>
    <row r="9">
      <c r="A9" s="22" t="inlineStr">
        <is>
          <t>int_rate</t>
        </is>
      </c>
      <c r="B9" s="6" t="inlineStr">
        <is>
          <t>Raw LendingClub</t>
        </is>
      </c>
      <c r="C9" s="33" t="inlineStr">
        <is>
          <t>NUMERIC(6,2)</t>
        </is>
      </c>
      <c r="D9" s="6" t="inlineStr">
        <is>
          <t>Annualized nominal interest rate on the loan facility (%)</t>
        </is>
      </c>
    </row>
    <row r="10">
      <c r="A10" s="22" t="inlineStr">
        <is>
          <t>installment</t>
        </is>
      </c>
      <c r="B10" s="6" t="inlineStr">
        <is>
          <t>Raw LendingClub</t>
        </is>
      </c>
      <c r="C10" s="33" t="inlineStr">
        <is>
          <t>NUMERIC(10,2)</t>
        </is>
      </c>
      <c r="D10" s="6" t="inlineStr">
        <is>
          <t>Monthly payment owed by borrower including principal and interest</t>
        </is>
      </c>
    </row>
    <row r="11">
      <c r="A11" s="22" t="inlineStr">
        <is>
          <t>grade</t>
        </is>
      </c>
      <c r="B11" s="6" t="inlineStr">
        <is>
          <t>Raw LendingClub</t>
        </is>
      </c>
      <c r="C11" s="33" t="inlineStr">
        <is>
          <t>VARCHAR(5)</t>
        </is>
      </c>
      <c r="D11" s="6" t="inlineStr">
        <is>
          <t>LendingClub assigned underwriting risk grade (A through G)</t>
        </is>
      </c>
    </row>
    <row r="12">
      <c r="A12" s="22" t="inlineStr">
        <is>
          <t>sub_grade</t>
        </is>
      </c>
      <c r="B12" s="6" t="inlineStr">
        <is>
          <t>Raw LendingClub</t>
        </is>
      </c>
      <c r="C12" s="33" t="inlineStr">
        <is>
          <t>VARCHAR(10)</t>
        </is>
      </c>
      <c r="D12" s="6" t="inlineStr">
        <is>
          <t>Granular subgrade credit classification (A1 to G5)</t>
        </is>
      </c>
    </row>
    <row r="13">
      <c r="A13" s="22" t="inlineStr">
        <is>
          <t>home_ownership</t>
        </is>
      </c>
      <c r="B13" s="6" t="inlineStr">
        <is>
          <t>Cleaned</t>
        </is>
      </c>
      <c r="C13" s="33" t="inlineStr">
        <is>
          <t>VARCHAR(20)</t>
        </is>
      </c>
      <c r="D13" s="6" t="inlineStr">
        <is>
          <t>Standardized home ownership status (MORTGAGE, RENT, OWN, OTHER)</t>
        </is>
      </c>
    </row>
    <row r="14">
      <c r="A14" s="22" t="inlineStr">
        <is>
          <t>annual_inc</t>
        </is>
      </c>
      <c r="B14" s="6" t="inlineStr">
        <is>
          <t>Raw LendingClub</t>
        </is>
      </c>
      <c r="C14" s="33" t="inlineStr">
        <is>
          <t>NUMERIC(14,2)</t>
        </is>
      </c>
      <c r="D14" s="6" t="inlineStr">
        <is>
          <t>Self-reported borrower gross annual income ($)</t>
        </is>
      </c>
    </row>
    <row r="15">
      <c r="A15" s="22" t="inlineStr">
        <is>
          <t>verification_status</t>
        </is>
      </c>
      <c r="B15" s="6" t="inlineStr">
        <is>
          <t>Raw LendingClub</t>
        </is>
      </c>
      <c r="C15" s="33" t="inlineStr">
        <is>
          <t>VARCHAR(50)</t>
        </is>
      </c>
      <c r="D15" s="6" t="inlineStr">
        <is>
          <t>Income verification status (Verified, Source Verified, Not Verified)</t>
        </is>
      </c>
    </row>
    <row r="16">
      <c r="A16" s="22" t="inlineStr">
        <is>
          <t>issue_date</t>
        </is>
      </c>
      <c r="B16" s="6" t="inlineStr">
        <is>
          <t>Derived (Pipeline)</t>
        </is>
      </c>
      <c r="C16" s="33" t="inlineStr">
        <is>
          <t>DATE</t>
        </is>
      </c>
      <c r="D16" s="6" t="inlineStr">
        <is>
          <t>Origination funding date parsed as standard ISO Gregorian date</t>
        </is>
      </c>
    </row>
    <row r="17">
      <c r="A17" s="22" t="inlineStr">
        <is>
          <t>loan_status</t>
        </is>
      </c>
      <c r="B17" s="6" t="inlineStr">
        <is>
          <t>Raw LendingClub</t>
        </is>
      </c>
      <c r="C17" s="33" t="inlineStr">
        <is>
          <t>VARCHAR(50)</t>
        </is>
      </c>
      <c r="D17" s="6" t="inlineStr">
        <is>
          <t>Terminal repayment contract status ('Fully Paid' vs 'Charged Off')</t>
        </is>
      </c>
    </row>
    <row r="18">
      <c r="A18" s="22" t="inlineStr">
        <is>
          <t>is_default</t>
        </is>
      </c>
      <c r="B18" s="6" t="inlineStr">
        <is>
          <t>Target Variable</t>
        </is>
      </c>
      <c r="C18" s="33" t="inlineStr">
        <is>
          <t>INTEGER</t>
        </is>
      </c>
      <c r="D18" s="6" t="inlineStr">
        <is>
          <t>Binary credit default indicator: 1 = Charged Off, 0 = Fully Paid</t>
        </is>
      </c>
    </row>
    <row r="19">
      <c r="A19" s="22" t="inlineStr">
        <is>
          <t>purpose</t>
        </is>
      </c>
      <c r="B19" s="6" t="inlineStr">
        <is>
          <t>Raw LendingClub</t>
        </is>
      </c>
      <c r="C19" s="33" t="inlineStr">
        <is>
          <t>VARCHAR(50)</t>
        </is>
      </c>
      <c r="D19" s="6" t="inlineStr">
        <is>
          <t>Borrower-stated use of loan proceeds (e.g. debt_consolidation)</t>
        </is>
      </c>
    </row>
    <row r="20">
      <c r="A20" s="22" t="inlineStr">
        <is>
          <t>dti</t>
        </is>
      </c>
      <c r="B20" s="6" t="inlineStr">
        <is>
          <t>Raw LendingClub</t>
        </is>
      </c>
      <c r="C20" s="33" t="inlineStr">
        <is>
          <t>NUMERIC(8,2)</t>
        </is>
      </c>
      <c r="D20" s="6" t="inlineStr">
        <is>
          <t>Debt-to-income ratio: non-mortgage monthly debt obligations / monthly income</t>
        </is>
      </c>
    </row>
    <row r="21">
      <c r="A21" s="22" t="inlineStr">
        <is>
          <t>addr_state</t>
        </is>
      </c>
      <c r="B21" s="6" t="inlineStr">
        <is>
          <t>Derived (Cleaned)</t>
        </is>
      </c>
      <c r="C21" s="33" t="inlineStr">
        <is>
          <t>VARCHAR(10)</t>
        </is>
      </c>
      <c r="D21" s="6" t="inlineStr">
        <is>
          <t>Two-letter US state postal code extracted from borrower address</t>
        </is>
      </c>
    </row>
    <row r="22">
      <c r="A22" s="22" t="inlineStr">
        <is>
          <t>zip_code</t>
        </is>
      </c>
      <c r="B22" s="6" t="inlineStr">
        <is>
          <t>Derived (Cleaned)</t>
        </is>
      </c>
      <c r="C22" s="33" t="inlineStr">
        <is>
          <t>VARCHAR(10)</t>
        </is>
      </c>
      <c r="D22" s="6" t="inlineStr">
        <is>
          <t>Five-digit borrower postal code extracted from address</t>
        </is>
      </c>
    </row>
    <row r="23">
      <c r="A23" s="22" t="inlineStr">
        <is>
          <t>emp_length_years</t>
        </is>
      </c>
      <c r="B23" s="6" t="inlineStr">
        <is>
          <t>Derived (Pipeline)</t>
        </is>
      </c>
      <c r="C23" s="33" t="inlineStr">
        <is>
          <t>NUMERIC(4,1)</t>
        </is>
      </c>
      <c r="D23" s="6" t="inlineStr">
        <is>
          <t>Borrower employment tenure standardized in numeric years (0.5 to 10.0)</t>
        </is>
      </c>
    </row>
    <row r="24">
      <c r="A24" s="22" t="inlineStr">
        <is>
          <t>credit_history_years</t>
        </is>
      </c>
      <c r="B24" s="6" t="inlineStr">
        <is>
          <t>Derived (Pipeline)</t>
        </is>
      </c>
      <c r="C24" s="33" t="inlineStr">
        <is>
          <t>NUMERIC(5,1)</t>
        </is>
      </c>
      <c r="D24" s="6" t="inlineStr">
        <is>
          <t>Borrower credit history length at origination in years</t>
        </is>
      </c>
    </row>
    <row r="25">
      <c r="A25" s="22" t="inlineStr">
        <is>
          <t>loan_amount_band</t>
        </is>
      </c>
      <c r="B25" s="6" t="inlineStr">
        <is>
          <t>Segmentation Band</t>
        </is>
      </c>
      <c r="C25" s="33" t="inlineStr">
        <is>
          <t>VARCHAR(20)</t>
        </is>
      </c>
      <c r="D25" s="6" t="inlineStr">
        <is>
          <t>Binned loan principal sizing (&lt; $5k, $5k-$10k, ..., $30k+)</t>
        </is>
      </c>
    </row>
    <row r="26">
      <c r="A26" s="22" t="inlineStr">
        <is>
          <t>dti_band</t>
        </is>
      </c>
      <c r="B26" s="6" t="inlineStr">
        <is>
          <t>Segmentation Band</t>
        </is>
      </c>
      <c r="C26" s="33" t="inlineStr">
        <is>
          <t>VARCHAR(20)</t>
        </is>
      </c>
      <c r="D26" s="6" t="inlineStr">
        <is>
          <t>Binned borrower DTI leverage (&lt; 10%, 10-15%, ..., 30%+)</t>
        </is>
      </c>
    </row>
    <row r="27">
      <c r="A27" s="22" t="inlineStr">
        <is>
          <t>income_band</t>
        </is>
      </c>
      <c r="B27" s="6" t="inlineStr">
        <is>
          <t>Segmentation Band</t>
        </is>
      </c>
      <c r="C27" s="33" t="inlineStr">
        <is>
          <t>VARCHAR(20)</t>
        </is>
      </c>
      <c r="D27" s="6" t="inlineStr">
        <is>
          <t>Binned annual income (&lt; $30k, $30k-$50k, ..., $150k+)</t>
        </is>
      </c>
    </row>
    <row r="28">
      <c r="A28" s="22" t="inlineStr">
        <is>
          <t>installment_burden_pct</t>
        </is>
      </c>
      <c r="B28" s="6" t="inlineStr">
        <is>
          <t>Derived (Pipeline)</t>
        </is>
      </c>
      <c r="C28" s="33" t="inlineStr">
        <is>
          <t>NUMERIC(6,2)</t>
        </is>
      </c>
      <c r="D28" s="6" t="inlineStr">
        <is>
          <t>Annual installment burden as percentage of annual income (%)</t>
        </is>
      </c>
    </row>
    <row r="29">
      <c r="A29" s="22" t="inlineStr">
        <is>
          <t>is_high_risk_segment</t>
        </is>
      </c>
      <c r="B29" s="6" t="inlineStr">
        <is>
          <t>Segmentation Flag</t>
        </is>
      </c>
      <c r="C29" s="33" t="inlineStr">
        <is>
          <t>INTEGER</t>
        </is>
      </c>
      <c r="D29" s="6" t="inlineStr">
        <is>
          <t>Binary flag: 1 if Grade in E/F/G or DTI &gt;= 25.0, else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2026-10-28T10:54:13Z</dcterms:created>
  <dcterms:modified xmlns:dcterms="http://purl.org/dc/terms/" xmlns:xsi="http://www.w3.org/2001/XMLSchema-instance" xsi:type="dcterms:W3CDTF">2026-10-28T10:54:13Z</dcterms:modified>
</cp:coreProperties>
</file>